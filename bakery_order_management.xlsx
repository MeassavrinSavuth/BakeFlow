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4" fontId="0" fillId="0" borderId="1" pivotButton="0" quotePrefix="0" xfId="0"/>
    <xf numFmtId="0" fontId="1" fillId="0" borderId="1" pivotButton="0" quotePrefix="0" xfId="0"/>
    <xf numFmtId="165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OrdersTable" displayName="OrdersTable" ref="A1:P32" headerRowCount="1">
  <autoFilter ref="A1:P32"/>
  <tableColumns count="16">
    <tableColumn id="1" name="Date"/>
    <tableColumn id="2" name="Active Sr No"/>
    <tableColumn id="3" name="Name"/>
    <tableColumn id="4" name="Op"/>
    <tableColumn id="5" name="In"/>
    <tableColumn id="6" name="Exp"/>
    <tableColumn id="7" name="FOC"/>
    <tableColumn id="8" name="Shop Sold"/>
    <tableColumn id="9" name="Cl"/>
    <tableColumn id="10" name="MSP"/>
    <tableColumn id="11" name="Craft of Coffee"/>
    <tableColumn id="12" name="Other"/>
    <tableColumn id="13" name="Price"/>
    <tableColumn id="14" name="Amount"/>
    <tableColumn id="15" name="WH Price"/>
    <tableColumn id="16" name="MSP Am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10" customWidth="1" min="10" max="10"/>
    <col width="16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Date</t>
        </is>
      </c>
      <c r="B1" s="1" t="inlineStr">
        <is>
          <t>Active Sr No</t>
        </is>
      </c>
      <c r="C1" s="1" t="inlineStr">
        <is>
          <t>Name</t>
        </is>
      </c>
      <c r="D1" s="1" t="inlineStr">
        <is>
          <t>Op</t>
        </is>
      </c>
      <c r="E1" s="1" t="inlineStr">
        <is>
          <t>In</t>
        </is>
      </c>
      <c r="F1" s="1" t="inlineStr">
        <is>
          <t>Exp</t>
        </is>
      </c>
      <c r="G1" s="1" t="inlineStr">
        <is>
          <t>FOC</t>
        </is>
      </c>
      <c r="H1" s="1" t="inlineStr">
        <is>
          <t>Shop Sold</t>
        </is>
      </c>
      <c r="I1" s="1" t="inlineStr">
        <is>
          <t>Cl</t>
        </is>
      </c>
      <c r="J1" s="2" t="inlineStr">
        <is>
          <t>MSP</t>
        </is>
      </c>
      <c r="K1" s="1" t="inlineStr">
        <is>
          <t>Craft of Coffee</t>
        </is>
      </c>
      <c r="L1" s="1" t="inlineStr">
        <is>
          <t>Other</t>
        </is>
      </c>
      <c r="M1" s="1" t="inlineStr">
        <is>
          <t>Price</t>
        </is>
      </c>
      <c r="N1" s="1" t="inlineStr">
        <is>
          <t>Amount</t>
        </is>
      </c>
      <c r="O1" s="1" t="inlineStr">
        <is>
          <t>WH Price</t>
        </is>
      </c>
      <c r="P1" s="1" t="inlineStr">
        <is>
          <t>MSP Amt</t>
        </is>
      </c>
    </row>
    <row r="2">
      <c r="A2" s="3">
        <f>IF(ROW()-1&lt;=DAY(EOMONTH('Monthly Summary'!$B$1,0)),EOMONTH('Monthly Summary'!$B$1,-1)+ROW()-1,"")</f>
        <v/>
      </c>
      <c r="B2" s="4">
        <f>IF(A2="","",ROW()-1)</f>
        <v/>
      </c>
      <c r="C2" s="4" t="n"/>
      <c r="D2" s="4" t="n"/>
      <c r="E2" s="4" t="n"/>
      <c r="F2" s="4" t="n"/>
      <c r="G2" s="4" t="n"/>
      <c r="H2" s="4" t="n"/>
      <c r="I2" s="4">
        <f>D2+E2-F2-G2-H2</f>
        <v/>
      </c>
      <c r="J2" s="5" t="n"/>
      <c r="K2" s="4" t="n"/>
      <c r="L2" s="4" t="n"/>
      <c r="M2" s="6" t="n"/>
      <c r="N2" s="6">
        <f>H2*M2</f>
        <v/>
      </c>
      <c r="O2" s="6" t="n"/>
      <c r="P2" s="6">
        <f>J2*O2</f>
        <v/>
      </c>
    </row>
    <row r="3">
      <c r="A3" s="3">
        <f>IF(ROW()-1&lt;=DAY(EOMONTH('Monthly Summary'!$B$1,0)),EOMONTH('Monthly Summary'!$B$1,-1)+ROW()-1,"")</f>
        <v/>
      </c>
      <c r="B3" s="4">
        <f>IF(A3="","",ROW()-1)</f>
        <v/>
      </c>
      <c r="C3" s="4" t="n"/>
      <c r="D3" s="4" t="n"/>
      <c r="E3" s="4" t="n"/>
      <c r="F3" s="4" t="n"/>
      <c r="G3" s="4" t="n"/>
      <c r="H3" s="4" t="n"/>
      <c r="I3" s="4">
        <f>D3+E3-F3-G3-H3</f>
        <v/>
      </c>
      <c r="J3" s="5" t="n"/>
      <c r="K3" s="4" t="n"/>
      <c r="L3" s="4" t="n"/>
      <c r="M3" s="6" t="n"/>
      <c r="N3" s="6">
        <f>H3*M3</f>
        <v/>
      </c>
      <c r="O3" s="6" t="n"/>
      <c r="P3" s="6">
        <f>J3*O3</f>
        <v/>
      </c>
    </row>
    <row r="4">
      <c r="A4" s="3">
        <f>IF(ROW()-1&lt;=DAY(EOMONTH('Monthly Summary'!$B$1,0)),EOMONTH('Monthly Summary'!$B$1,-1)+ROW()-1,"")</f>
        <v/>
      </c>
      <c r="B4" s="4">
        <f>IF(A4="","",ROW()-1)</f>
        <v/>
      </c>
      <c r="C4" s="4" t="n"/>
      <c r="D4" s="4" t="n"/>
      <c r="E4" s="4" t="n"/>
      <c r="F4" s="4" t="n"/>
      <c r="G4" s="4" t="n"/>
      <c r="H4" s="4" t="n"/>
      <c r="I4" s="4">
        <f>D4+E4-F4-G4-H4</f>
        <v/>
      </c>
      <c r="J4" s="5" t="n"/>
      <c r="K4" s="4" t="n"/>
      <c r="L4" s="4" t="n"/>
      <c r="M4" s="6" t="n"/>
      <c r="N4" s="6">
        <f>H4*M4</f>
        <v/>
      </c>
      <c r="O4" s="6" t="n"/>
      <c r="P4" s="6">
        <f>J4*O4</f>
        <v/>
      </c>
    </row>
    <row r="5">
      <c r="A5" s="3">
        <f>IF(ROW()-1&lt;=DAY(EOMONTH('Monthly Summary'!$B$1,0)),EOMONTH('Monthly Summary'!$B$1,-1)+ROW()-1,"")</f>
        <v/>
      </c>
      <c r="B5" s="4">
        <f>IF(A5="","",ROW()-1)</f>
        <v/>
      </c>
      <c r="C5" s="4" t="n"/>
      <c r="D5" s="4" t="n"/>
      <c r="E5" s="4" t="n"/>
      <c r="F5" s="4" t="n"/>
      <c r="G5" s="4" t="n"/>
      <c r="H5" s="4" t="n"/>
      <c r="I5" s="4">
        <f>D5+E5-F5-G5-H5</f>
        <v/>
      </c>
      <c r="J5" s="5" t="n"/>
      <c r="K5" s="4" t="n"/>
      <c r="L5" s="4" t="n"/>
      <c r="M5" s="6" t="n"/>
      <c r="N5" s="6">
        <f>H5*M5</f>
        <v/>
      </c>
      <c r="O5" s="6" t="n"/>
      <c r="P5" s="6">
        <f>J5*O5</f>
        <v/>
      </c>
    </row>
    <row r="6">
      <c r="A6" s="3">
        <f>IF(ROW()-1&lt;=DAY(EOMONTH('Monthly Summary'!$B$1,0)),EOMONTH('Monthly Summary'!$B$1,-1)+ROW()-1,"")</f>
        <v/>
      </c>
      <c r="B6" s="4">
        <f>IF(A6="","",ROW()-1)</f>
        <v/>
      </c>
      <c r="C6" s="4" t="n"/>
      <c r="D6" s="4" t="n"/>
      <c r="E6" s="4" t="n"/>
      <c r="F6" s="4" t="n"/>
      <c r="G6" s="4" t="n"/>
      <c r="H6" s="4" t="n"/>
      <c r="I6" s="4">
        <f>D6+E6-F6-G6-H6</f>
        <v/>
      </c>
      <c r="J6" s="5" t="n"/>
      <c r="K6" s="4" t="n"/>
      <c r="L6" s="4" t="n"/>
      <c r="M6" s="6" t="n"/>
      <c r="N6" s="6">
        <f>H6*M6</f>
        <v/>
      </c>
      <c r="O6" s="6" t="n"/>
      <c r="P6" s="6">
        <f>J6*O6</f>
        <v/>
      </c>
    </row>
    <row r="7">
      <c r="A7" s="3">
        <f>IF(ROW()-1&lt;=DAY(EOMONTH('Monthly Summary'!$B$1,0)),EOMONTH('Monthly Summary'!$B$1,-1)+ROW()-1,"")</f>
        <v/>
      </c>
      <c r="B7" s="4">
        <f>IF(A7="","",ROW()-1)</f>
        <v/>
      </c>
      <c r="C7" s="4" t="n"/>
      <c r="D7" s="4" t="n"/>
      <c r="E7" s="4" t="n"/>
      <c r="F7" s="4" t="n"/>
      <c r="G7" s="4" t="n"/>
      <c r="H7" s="4" t="n"/>
      <c r="I7" s="4">
        <f>D7+E7-F7-G7-H7</f>
        <v/>
      </c>
      <c r="J7" s="5" t="n"/>
      <c r="K7" s="4" t="n"/>
      <c r="L7" s="4" t="n"/>
      <c r="M7" s="6" t="n"/>
      <c r="N7" s="6">
        <f>H7*M7</f>
        <v/>
      </c>
      <c r="O7" s="6" t="n"/>
      <c r="P7" s="6">
        <f>J7*O7</f>
        <v/>
      </c>
    </row>
    <row r="8">
      <c r="A8" s="3">
        <f>IF(ROW()-1&lt;=DAY(EOMONTH('Monthly Summary'!$B$1,0)),EOMONTH('Monthly Summary'!$B$1,-1)+ROW()-1,"")</f>
        <v/>
      </c>
      <c r="B8" s="4">
        <f>IF(A8="","",ROW()-1)</f>
        <v/>
      </c>
      <c r="C8" s="4" t="n"/>
      <c r="D8" s="4" t="n"/>
      <c r="E8" s="4" t="n"/>
      <c r="F8" s="4" t="n"/>
      <c r="G8" s="4" t="n"/>
      <c r="H8" s="4" t="n"/>
      <c r="I8" s="4">
        <f>D8+E8-F8-G8-H8</f>
        <v/>
      </c>
      <c r="J8" s="5" t="n"/>
      <c r="K8" s="4" t="n"/>
      <c r="L8" s="4" t="n"/>
      <c r="M8" s="6" t="n"/>
      <c r="N8" s="6">
        <f>H8*M8</f>
        <v/>
      </c>
      <c r="O8" s="6" t="n"/>
      <c r="P8" s="6">
        <f>J8*O8</f>
        <v/>
      </c>
    </row>
    <row r="9">
      <c r="A9" s="3">
        <f>IF(ROW()-1&lt;=DAY(EOMONTH('Monthly Summary'!$B$1,0)),EOMONTH('Monthly Summary'!$B$1,-1)+ROW()-1,"")</f>
        <v/>
      </c>
      <c r="B9" s="4">
        <f>IF(A9="","",ROW()-1)</f>
        <v/>
      </c>
      <c r="C9" s="4" t="n"/>
      <c r="D9" s="4" t="n"/>
      <c r="E9" s="4" t="n"/>
      <c r="F9" s="4" t="n"/>
      <c r="G9" s="4" t="n"/>
      <c r="H9" s="4" t="n"/>
      <c r="I9" s="4">
        <f>D9+E9-F9-G9-H9</f>
        <v/>
      </c>
      <c r="J9" s="5" t="n"/>
      <c r="K9" s="4" t="n"/>
      <c r="L9" s="4" t="n"/>
      <c r="M9" s="6" t="n"/>
      <c r="N9" s="6">
        <f>H9*M9</f>
        <v/>
      </c>
      <c r="O9" s="6" t="n"/>
      <c r="P9" s="6">
        <f>J9*O9</f>
        <v/>
      </c>
    </row>
    <row r="10">
      <c r="A10" s="3">
        <f>IF(ROW()-1&lt;=DAY(EOMONTH('Monthly Summary'!$B$1,0)),EOMONTH('Monthly Summary'!$B$1,-1)+ROW()-1,"")</f>
        <v/>
      </c>
      <c r="B10" s="4">
        <f>IF(A10="","",ROW()-1)</f>
        <v/>
      </c>
      <c r="C10" s="4" t="n"/>
      <c r="D10" s="4" t="n"/>
      <c r="E10" s="4" t="n"/>
      <c r="F10" s="4" t="n"/>
      <c r="G10" s="4" t="n"/>
      <c r="H10" s="4" t="n"/>
      <c r="I10" s="4">
        <f>D10+E10-F10-G10-H10</f>
        <v/>
      </c>
      <c r="J10" s="5" t="n"/>
      <c r="K10" s="4" t="n"/>
      <c r="L10" s="4" t="n"/>
      <c r="M10" s="6" t="n"/>
      <c r="N10" s="6">
        <f>H10*M10</f>
        <v/>
      </c>
      <c r="O10" s="6" t="n"/>
      <c r="P10" s="6">
        <f>J10*O10</f>
        <v/>
      </c>
    </row>
    <row r="11">
      <c r="A11" s="3">
        <f>IF(ROW()-1&lt;=DAY(EOMONTH('Monthly Summary'!$B$1,0)),EOMONTH('Monthly Summary'!$B$1,-1)+ROW()-1,"")</f>
        <v/>
      </c>
      <c r="B11" s="4">
        <f>IF(A11="","",ROW()-1)</f>
        <v/>
      </c>
      <c r="C11" s="4" t="n"/>
      <c r="D11" s="4" t="n"/>
      <c r="E11" s="4" t="n"/>
      <c r="F11" s="4" t="n"/>
      <c r="G11" s="4" t="n"/>
      <c r="H11" s="4" t="n"/>
      <c r="I11" s="4">
        <f>D11+E11-F11-G11-H11</f>
        <v/>
      </c>
      <c r="J11" s="5" t="n"/>
      <c r="K11" s="4" t="n"/>
      <c r="L11" s="4" t="n"/>
      <c r="M11" s="6" t="n"/>
      <c r="N11" s="6">
        <f>H11*M11</f>
        <v/>
      </c>
      <c r="O11" s="6" t="n"/>
      <c r="P11" s="6">
        <f>J11*O11</f>
        <v/>
      </c>
    </row>
    <row r="12">
      <c r="A12" s="3">
        <f>IF(ROW()-1&lt;=DAY(EOMONTH('Monthly Summary'!$B$1,0)),EOMONTH('Monthly Summary'!$B$1,-1)+ROW()-1,"")</f>
        <v/>
      </c>
      <c r="B12" s="4">
        <f>IF(A12="","",ROW()-1)</f>
        <v/>
      </c>
      <c r="C12" s="4" t="n"/>
      <c r="D12" s="4" t="n"/>
      <c r="E12" s="4" t="n"/>
      <c r="F12" s="4" t="n"/>
      <c r="G12" s="4" t="n"/>
      <c r="H12" s="4" t="n"/>
      <c r="I12" s="4">
        <f>D12+E12-F12-G12-H12</f>
        <v/>
      </c>
      <c r="J12" s="5" t="n"/>
      <c r="K12" s="4" t="n"/>
      <c r="L12" s="4" t="n"/>
      <c r="M12" s="6" t="n"/>
      <c r="N12" s="6">
        <f>H12*M12</f>
        <v/>
      </c>
      <c r="O12" s="6" t="n"/>
      <c r="P12" s="6">
        <f>J12*O12</f>
        <v/>
      </c>
    </row>
    <row r="13">
      <c r="A13" s="3">
        <f>IF(ROW()-1&lt;=DAY(EOMONTH('Monthly Summary'!$B$1,0)),EOMONTH('Monthly Summary'!$B$1,-1)+ROW()-1,"")</f>
        <v/>
      </c>
      <c r="B13" s="4">
        <f>IF(A13="","",ROW()-1)</f>
        <v/>
      </c>
      <c r="C13" s="4" t="n"/>
      <c r="D13" s="4" t="n"/>
      <c r="E13" s="4" t="n"/>
      <c r="F13" s="4" t="n"/>
      <c r="G13" s="4" t="n"/>
      <c r="H13" s="4" t="n"/>
      <c r="I13" s="4">
        <f>D13+E13-F13-G13-H13</f>
        <v/>
      </c>
      <c r="J13" s="5" t="n"/>
      <c r="K13" s="4" t="n"/>
      <c r="L13" s="4" t="n"/>
      <c r="M13" s="6" t="n"/>
      <c r="N13" s="6">
        <f>H13*M13</f>
        <v/>
      </c>
      <c r="O13" s="6" t="n"/>
      <c r="P13" s="6">
        <f>J13*O13</f>
        <v/>
      </c>
    </row>
    <row r="14">
      <c r="A14" s="3">
        <f>IF(ROW()-1&lt;=DAY(EOMONTH('Monthly Summary'!$B$1,0)),EOMONTH('Monthly Summary'!$B$1,-1)+ROW()-1,"")</f>
        <v/>
      </c>
      <c r="B14" s="4">
        <f>IF(A14="","",ROW()-1)</f>
        <v/>
      </c>
      <c r="C14" s="4" t="n"/>
      <c r="D14" s="4" t="n"/>
      <c r="E14" s="4" t="n"/>
      <c r="F14" s="4" t="n"/>
      <c r="G14" s="4" t="n"/>
      <c r="H14" s="4" t="n"/>
      <c r="I14" s="4">
        <f>D14+E14-F14-G14-H14</f>
        <v/>
      </c>
      <c r="J14" s="5" t="n"/>
      <c r="K14" s="4" t="n"/>
      <c r="L14" s="4" t="n"/>
      <c r="M14" s="6" t="n"/>
      <c r="N14" s="6">
        <f>H14*M14</f>
        <v/>
      </c>
      <c r="O14" s="6" t="n"/>
      <c r="P14" s="6">
        <f>J14*O14</f>
        <v/>
      </c>
    </row>
    <row r="15">
      <c r="A15" s="3">
        <f>IF(ROW()-1&lt;=DAY(EOMONTH('Monthly Summary'!$B$1,0)),EOMONTH('Monthly Summary'!$B$1,-1)+ROW()-1,"")</f>
        <v/>
      </c>
      <c r="B15" s="4">
        <f>IF(A15="","",ROW()-1)</f>
        <v/>
      </c>
      <c r="C15" s="4" t="n"/>
      <c r="D15" s="4" t="n"/>
      <c r="E15" s="4" t="n"/>
      <c r="F15" s="4" t="n"/>
      <c r="G15" s="4" t="n"/>
      <c r="H15" s="4" t="n"/>
      <c r="I15" s="4">
        <f>D15+E15-F15-G15-H15</f>
        <v/>
      </c>
      <c r="J15" s="5" t="n"/>
      <c r="K15" s="4" t="n"/>
      <c r="L15" s="4" t="n"/>
      <c r="M15" s="6" t="n"/>
      <c r="N15" s="6">
        <f>H15*M15</f>
        <v/>
      </c>
      <c r="O15" s="6" t="n"/>
      <c r="P15" s="6">
        <f>J15*O15</f>
        <v/>
      </c>
    </row>
    <row r="16">
      <c r="A16" s="3">
        <f>IF(ROW()-1&lt;=DAY(EOMONTH('Monthly Summary'!$B$1,0)),EOMONTH('Monthly Summary'!$B$1,-1)+ROW()-1,"")</f>
        <v/>
      </c>
      <c r="B16" s="4">
        <f>IF(A16="","",ROW()-1)</f>
        <v/>
      </c>
      <c r="C16" s="4" t="n"/>
      <c r="D16" s="4" t="n"/>
      <c r="E16" s="4" t="n"/>
      <c r="F16" s="4" t="n"/>
      <c r="G16" s="4" t="n"/>
      <c r="H16" s="4" t="n"/>
      <c r="I16" s="4">
        <f>D16+E16-F16-G16-H16</f>
        <v/>
      </c>
      <c r="J16" s="5" t="n"/>
      <c r="K16" s="4" t="n"/>
      <c r="L16" s="4" t="n"/>
      <c r="M16" s="6" t="n"/>
      <c r="N16" s="6">
        <f>H16*M16</f>
        <v/>
      </c>
      <c r="O16" s="6" t="n"/>
      <c r="P16" s="6">
        <f>J16*O16</f>
        <v/>
      </c>
    </row>
    <row r="17">
      <c r="A17" s="3">
        <f>IF(ROW()-1&lt;=DAY(EOMONTH('Monthly Summary'!$B$1,0)),EOMONTH('Monthly Summary'!$B$1,-1)+ROW()-1,"")</f>
        <v/>
      </c>
      <c r="B17" s="4">
        <f>IF(A17="","",ROW()-1)</f>
        <v/>
      </c>
      <c r="C17" s="4" t="n"/>
      <c r="D17" s="4" t="n"/>
      <c r="E17" s="4" t="n"/>
      <c r="F17" s="4" t="n"/>
      <c r="G17" s="4" t="n"/>
      <c r="H17" s="4" t="n"/>
      <c r="I17" s="4">
        <f>D17+E17-F17-G17-H17</f>
        <v/>
      </c>
      <c r="J17" s="5" t="n"/>
      <c r="K17" s="4" t="n"/>
      <c r="L17" s="4" t="n"/>
      <c r="M17" s="6" t="n"/>
      <c r="N17" s="6">
        <f>H17*M17</f>
        <v/>
      </c>
      <c r="O17" s="6" t="n"/>
      <c r="P17" s="6">
        <f>J17*O17</f>
        <v/>
      </c>
    </row>
    <row r="18">
      <c r="A18" s="3">
        <f>IF(ROW()-1&lt;=DAY(EOMONTH('Monthly Summary'!$B$1,0)),EOMONTH('Monthly Summary'!$B$1,-1)+ROW()-1,"")</f>
        <v/>
      </c>
      <c r="B18" s="4">
        <f>IF(A18="","",ROW()-1)</f>
        <v/>
      </c>
      <c r="C18" s="4" t="n"/>
      <c r="D18" s="4" t="n"/>
      <c r="E18" s="4" t="n"/>
      <c r="F18" s="4" t="n"/>
      <c r="G18" s="4" t="n"/>
      <c r="H18" s="4" t="n"/>
      <c r="I18" s="4">
        <f>D18+E18-F18-G18-H18</f>
        <v/>
      </c>
      <c r="J18" s="5" t="n"/>
      <c r="K18" s="4" t="n"/>
      <c r="L18" s="4" t="n"/>
      <c r="M18" s="6" t="n"/>
      <c r="N18" s="6">
        <f>H18*M18</f>
        <v/>
      </c>
      <c r="O18" s="6" t="n"/>
      <c r="P18" s="6">
        <f>J18*O18</f>
        <v/>
      </c>
    </row>
    <row r="19">
      <c r="A19" s="3">
        <f>IF(ROW()-1&lt;=DAY(EOMONTH('Monthly Summary'!$B$1,0)),EOMONTH('Monthly Summary'!$B$1,-1)+ROW()-1,"")</f>
        <v/>
      </c>
      <c r="B19" s="4">
        <f>IF(A19="","",ROW()-1)</f>
        <v/>
      </c>
      <c r="C19" s="4" t="n"/>
      <c r="D19" s="4" t="n"/>
      <c r="E19" s="4" t="n"/>
      <c r="F19" s="4" t="n"/>
      <c r="G19" s="4" t="n"/>
      <c r="H19" s="4" t="n"/>
      <c r="I19" s="4">
        <f>D19+E19-F19-G19-H19</f>
        <v/>
      </c>
      <c r="J19" s="5" t="n"/>
      <c r="K19" s="4" t="n"/>
      <c r="L19" s="4" t="n"/>
      <c r="M19" s="6" t="n"/>
      <c r="N19" s="6">
        <f>H19*M19</f>
        <v/>
      </c>
      <c r="O19" s="6" t="n"/>
      <c r="P19" s="6">
        <f>J19*O19</f>
        <v/>
      </c>
    </row>
    <row r="20">
      <c r="A20" s="3">
        <f>IF(ROW()-1&lt;=DAY(EOMONTH('Monthly Summary'!$B$1,0)),EOMONTH('Monthly Summary'!$B$1,-1)+ROW()-1,"")</f>
        <v/>
      </c>
      <c r="B20" s="4">
        <f>IF(A20="","",ROW()-1)</f>
        <v/>
      </c>
      <c r="C20" s="4" t="n"/>
      <c r="D20" s="4" t="n"/>
      <c r="E20" s="4" t="n"/>
      <c r="F20" s="4" t="n"/>
      <c r="G20" s="4" t="n"/>
      <c r="H20" s="4" t="n"/>
      <c r="I20" s="4">
        <f>D20+E20-F20-G20-H20</f>
        <v/>
      </c>
      <c r="J20" s="5" t="n"/>
      <c r="K20" s="4" t="n"/>
      <c r="L20" s="4" t="n"/>
      <c r="M20" s="6" t="n"/>
      <c r="N20" s="6">
        <f>H20*M20</f>
        <v/>
      </c>
      <c r="O20" s="6" t="n"/>
      <c r="P20" s="6">
        <f>J20*O20</f>
        <v/>
      </c>
    </row>
    <row r="21">
      <c r="A21" s="3">
        <f>IF(ROW()-1&lt;=DAY(EOMONTH('Monthly Summary'!$B$1,0)),EOMONTH('Monthly Summary'!$B$1,-1)+ROW()-1,"")</f>
        <v/>
      </c>
      <c r="B21" s="4">
        <f>IF(A21="","",ROW()-1)</f>
        <v/>
      </c>
      <c r="C21" s="4" t="n"/>
      <c r="D21" s="4" t="n"/>
      <c r="E21" s="4" t="n"/>
      <c r="F21" s="4" t="n"/>
      <c r="G21" s="4" t="n"/>
      <c r="H21" s="4" t="n"/>
      <c r="I21" s="4">
        <f>D21+E21-F21-G21-H21</f>
        <v/>
      </c>
      <c r="J21" s="5" t="n"/>
      <c r="K21" s="4" t="n"/>
      <c r="L21" s="4" t="n"/>
      <c r="M21" s="6" t="n"/>
      <c r="N21" s="6">
        <f>H21*M21</f>
        <v/>
      </c>
      <c r="O21" s="6" t="n"/>
      <c r="P21" s="6">
        <f>J21*O21</f>
        <v/>
      </c>
    </row>
    <row r="22">
      <c r="A22" s="3">
        <f>IF(ROW()-1&lt;=DAY(EOMONTH('Monthly Summary'!$B$1,0)),EOMONTH('Monthly Summary'!$B$1,-1)+ROW()-1,"")</f>
        <v/>
      </c>
      <c r="B22" s="4">
        <f>IF(A22="","",ROW()-1)</f>
        <v/>
      </c>
      <c r="C22" s="4" t="n"/>
      <c r="D22" s="4" t="n"/>
      <c r="E22" s="4" t="n"/>
      <c r="F22" s="4" t="n"/>
      <c r="G22" s="4" t="n"/>
      <c r="H22" s="4" t="n"/>
      <c r="I22" s="4">
        <f>D22+E22-F22-G22-H22</f>
        <v/>
      </c>
      <c r="J22" s="5" t="n"/>
      <c r="K22" s="4" t="n"/>
      <c r="L22" s="4" t="n"/>
      <c r="M22" s="6" t="n"/>
      <c r="N22" s="6">
        <f>H22*M22</f>
        <v/>
      </c>
      <c r="O22" s="6" t="n"/>
      <c r="P22" s="6">
        <f>J22*O22</f>
        <v/>
      </c>
    </row>
    <row r="23">
      <c r="A23" s="3">
        <f>IF(ROW()-1&lt;=DAY(EOMONTH('Monthly Summary'!$B$1,0)),EOMONTH('Monthly Summary'!$B$1,-1)+ROW()-1,"")</f>
        <v/>
      </c>
      <c r="B23" s="4">
        <f>IF(A23="","",ROW()-1)</f>
        <v/>
      </c>
      <c r="C23" s="4" t="n"/>
      <c r="D23" s="4" t="n"/>
      <c r="E23" s="4" t="n"/>
      <c r="F23" s="4" t="n"/>
      <c r="G23" s="4" t="n"/>
      <c r="H23" s="4" t="n"/>
      <c r="I23" s="4">
        <f>D23+E23-F23-G23-H23</f>
        <v/>
      </c>
      <c r="J23" s="5" t="n"/>
      <c r="K23" s="4" t="n"/>
      <c r="L23" s="4" t="n"/>
      <c r="M23" s="6" t="n"/>
      <c r="N23" s="6">
        <f>H23*M23</f>
        <v/>
      </c>
      <c r="O23" s="6" t="n"/>
      <c r="P23" s="6">
        <f>J23*O23</f>
        <v/>
      </c>
    </row>
    <row r="24">
      <c r="A24" s="3">
        <f>IF(ROW()-1&lt;=DAY(EOMONTH('Monthly Summary'!$B$1,0)),EOMONTH('Monthly Summary'!$B$1,-1)+ROW()-1,"")</f>
        <v/>
      </c>
      <c r="B24" s="4">
        <f>IF(A24="","",ROW()-1)</f>
        <v/>
      </c>
      <c r="C24" s="4" t="n"/>
      <c r="D24" s="4" t="n"/>
      <c r="E24" s="4" t="n"/>
      <c r="F24" s="4" t="n"/>
      <c r="G24" s="4" t="n"/>
      <c r="H24" s="4" t="n"/>
      <c r="I24" s="4">
        <f>D24+E24-F24-G24-H24</f>
        <v/>
      </c>
      <c r="J24" s="5" t="n"/>
      <c r="K24" s="4" t="n"/>
      <c r="L24" s="4" t="n"/>
      <c r="M24" s="6" t="n"/>
      <c r="N24" s="6">
        <f>H24*M24</f>
        <v/>
      </c>
      <c r="O24" s="6" t="n"/>
      <c r="P24" s="6">
        <f>J24*O24</f>
        <v/>
      </c>
    </row>
    <row r="25">
      <c r="A25" s="3">
        <f>IF(ROW()-1&lt;=DAY(EOMONTH('Monthly Summary'!$B$1,0)),EOMONTH('Monthly Summary'!$B$1,-1)+ROW()-1,"")</f>
        <v/>
      </c>
      <c r="B25" s="4">
        <f>IF(A25="","",ROW()-1)</f>
        <v/>
      </c>
      <c r="C25" s="4" t="n"/>
      <c r="D25" s="4" t="n"/>
      <c r="E25" s="4" t="n"/>
      <c r="F25" s="4" t="n"/>
      <c r="G25" s="4" t="n"/>
      <c r="H25" s="4" t="n"/>
      <c r="I25" s="4">
        <f>D25+E25-F25-G25-H25</f>
        <v/>
      </c>
      <c r="J25" s="5" t="n"/>
      <c r="K25" s="4" t="n"/>
      <c r="L25" s="4" t="n"/>
      <c r="M25" s="6" t="n"/>
      <c r="N25" s="6">
        <f>H25*M25</f>
        <v/>
      </c>
      <c r="O25" s="6" t="n"/>
      <c r="P25" s="6">
        <f>J25*O25</f>
        <v/>
      </c>
    </row>
    <row r="26">
      <c r="A26" s="3">
        <f>IF(ROW()-1&lt;=DAY(EOMONTH('Monthly Summary'!$B$1,0)),EOMONTH('Monthly Summary'!$B$1,-1)+ROW()-1,"")</f>
        <v/>
      </c>
      <c r="B26" s="4">
        <f>IF(A26="","",ROW()-1)</f>
        <v/>
      </c>
      <c r="C26" s="4" t="n"/>
      <c r="D26" s="4" t="n"/>
      <c r="E26" s="4" t="n"/>
      <c r="F26" s="4" t="n"/>
      <c r="G26" s="4" t="n"/>
      <c r="H26" s="4" t="n"/>
      <c r="I26" s="4">
        <f>D26+E26-F26-G26-H26</f>
        <v/>
      </c>
      <c r="J26" s="5" t="n"/>
      <c r="K26" s="4" t="n"/>
      <c r="L26" s="4" t="n"/>
      <c r="M26" s="6" t="n"/>
      <c r="N26" s="6">
        <f>H26*M26</f>
        <v/>
      </c>
      <c r="O26" s="6" t="n"/>
      <c r="P26" s="6">
        <f>J26*O26</f>
        <v/>
      </c>
    </row>
    <row r="27">
      <c r="A27" s="3">
        <f>IF(ROW()-1&lt;=DAY(EOMONTH('Monthly Summary'!$B$1,0)),EOMONTH('Monthly Summary'!$B$1,-1)+ROW()-1,"")</f>
        <v/>
      </c>
      <c r="B27" s="4">
        <f>IF(A27="","",ROW()-1)</f>
        <v/>
      </c>
      <c r="C27" s="4" t="n"/>
      <c r="D27" s="4" t="n"/>
      <c r="E27" s="4" t="n"/>
      <c r="F27" s="4" t="n"/>
      <c r="G27" s="4" t="n"/>
      <c r="H27" s="4" t="n"/>
      <c r="I27" s="4">
        <f>D27+E27-F27-G27-H27</f>
        <v/>
      </c>
      <c r="J27" s="5" t="n"/>
      <c r="K27" s="4" t="n"/>
      <c r="L27" s="4" t="n"/>
      <c r="M27" s="6" t="n"/>
      <c r="N27" s="6">
        <f>H27*M27</f>
        <v/>
      </c>
      <c r="O27" s="6" t="n"/>
      <c r="P27" s="6">
        <f>J27*O27</f>
        <v/>
      </c>
    </row>
    <row r="28">
      <c r="A28" s="3">
        <f>IF(ROW()-1&lt;=DAY(EOMONTH('Monthly Summary'!$B$1,0)),EOMONTH('Monthly Summary'!$B$1,-1)+ROW()-1,"")</f>
        <v/>
      </c>
      <c r="B28" s="4">
        <f>IF(A28="","",ROW()-1)</f>
        <v/>
      </c>
      <c r="C28" s="4" t="n"/>
      <c r="D28" s="4" t="n"/>
      <c r="E28" s="4" t="n"/>
      <c r="F28" s="4" t="n"/>
      <c r="G28" s="4" t="n"/>
      <c r="H28" s="4" t="n"/>
      <c r="I28" s="4">
        <f>D28+E28-F28-G28-H28</f>
        <v/>
      </c>
      <c r="J28" s="5" t="n"/>
      <c r="K28" s="4" t="n"/>
      <c r="L28" s="4" t="n"/>
      <c r="M28" s="6" t="n"/>
      <c r="N28" s="6">
        <f>H28*M28</f>
        <v/>
      </c>
      <c r="O28" s="6" t="n"/>
      <c r="P28" s="6">
        <f>J28*O28</f>
        <v/>
      </c>
    </row>
    <row r="29">
      <c r="A29" s="3">
        <f>IF(ROW()-1&lt;=DAY(EOMONTH('Monthly Summary'!$B$1,0)),EOMONTH('Monthly Summary'!$B$1,-1)+ROW()-1,"")</f>
        <v/>
      </c>
      <c r="B29" s="4">
        <f>IF(A29="","",ROW()-1)</f>
        <v/>
      </c>
      <c r="C29" s="4" t="n"/>
      <c r="D29" s="4" t="n"/>
      <c r="E29" s="4" t="n"/>
      <c r="F29" s="4" t="n"/>
      <c r="G29" s="4" t="n"/>
      <c r="H29" s="4" t="n"/>
      <c r="I29" s="4">
        <f>D29+E29-F29-G29-H29</f>
        <v/>
      </c>
      <c r="J29" s="5" t="n"/>
      <c r="K29" s="4" t="n"/>
      <c r="L29" s="4" t="n"/>
      <c r="M29" s="6" t="n"/>
      <c r="N29" s="6">
        <f>H29*M29</f>
        <v/>
      </c>
      <c r="O29" s="6" t="n"/>
      <c r="P29" s="6">
        <f>J29*O29</f>
        <v/>
      </c>
    </row>
    <row r="30">
      <c r="A30" s="3">
        <f>IF(ROW()-1&lt;=DAY(EOMONTH('Monthly Summary'!$B$1,0)),EOMONTH('Monthly Summary'!$B$1,-1)+ROW()-1,"")</f>
        <v/>
      </c>
      <c r="B30" s="4">
        <f>IF(A30="","",ROW()-1)</f>
        <v/>
      </c>
      <c r="C30" s="4" t="n"/>
      <c r="D30" s="4" t="n"/>
      <c r="E30" s="4" t="n"/>
      <c r="F30" s="4" t="n"/>
      <c r="G30" s="4" t="n"/>
      <c r="H30" s="4" t="n"/>
      <c r="I30" s="4">
        <f>D30+E30-F30-G30-H30</f>
        <v/>
      </c>
      <c r="J30" s="5" t="n"/>
      <c r="K30" s="4" t="n"/>
      <c r="L30" s="4" t="n"/>
      <c r="M30" s="6" t="n"/>
      <c r="N30" s="6">
        <f>H30*M30</f>
        <v/>
      </c>
      <c r="O30" s="6" t="n"/>
      <c r="P30" s="6">
        <f>J30*O30</f>
        <v/>
      </c>
    </row>
    <row r="31">
      <c r="A31" s="3">
        <f>IF(ROW()-1&lt;=DAY(EOMONTH('Monthly Summary'!$B$1,0)),EOMONTH('Monthly Summary'!$B$1,-1)+ROW()-1,"")</f>
        <v/>
      </c>
      <c r="B31" s="4">
        <f>IF(A31="","",ROW()-1)</f>
        <v/>
      </c>
      <c r="C31" s="4" t="n"/>
      <c r="D31" s="4" t="n"/>
      <c r="E31" s="4" t="n"/>
      <c r="F31" s="4" t="n"/>
      <c r="G31" s="4" t="n"/>
      <c r="H31" s="4" t="n"/>
      <c r="I31" s="4">
        <f>D31+E31-F31-G31-H31</f>
        <v/>
      </c>
      <c r="J31" s="5" t="n"/>
      <c r="K31" s="4" t="n"/>
      <c r="L31" s="4" t="n"/>
      <c r="M31" s="6" t="n"/>
      <c r="N31" s="6">
        <f>H31*M31</f>
        <v/>
      </c>
      <c r="O31" s="6" t="n"/>
      <c r="P31" s="6">
        <f>J31*O31</f>
        <v/>
      </c>
    </row>
    <row r="32">
      <c r="A32" s="3">
        <f>IF(ROW()-1&lt;=DAY(EOMONTH('Monthly Summary'!$B$1,0)),EOMONTH('Monthly Summary'!$B$1,-1)+ROW()-1,"")</f>
        <v/>
      </c>
      <c r="B32" s="4">
        <f>IF(A32="","",ROW()-1)</f>
        <v/>
      </c>
      <c r="C32" s="4" t="n"/>
      <c r="D32" s="4" t="n"/>
      <c r="E32" s="4" t="n"/>
      <c r="F32" s="4" t="n"/>
      <c r="G32" s="4" t="n"/>
      <c r="H32" s="4" t="n"/>
      <c r="I32" s="4">
        <f>D32+E32-F32-G32-H32</f>
        <v/>
      </c>
      <c r="J32" s="5" t="n"/>
      <c r="K32" s="4" t="n"/>
      <c r="L32" s="4" t="n"/>
      <c r="M32" s="6" t="n"/>
      <c r="N32" s="6">
        <f>H32*M32</f>
        <v/>
      </c>
      <c r="O32" s="6" t="n"/>
      <c r="P32" s="6">
        <f>J32*O32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7" t="inlineStr">
        <is>
          <t>Selected Month</t>
        </is>
      </c>
      <c r="B1" s="8" t="n">
        <v>46054</v>
      </c>
    </row>
    <row r="2">
      <c r="A2" s="4" t="n"/>
      <c r="B2" s="4" t="n"/>
    </row>
    <row r="3">
      <c r="A3" s="7" t="inlineStr">
        <is>
          <t>Total Sale Amount</t>
        </is>
      </c>
      <c r="B3" s="6" t="b">
        <v>1</v>
      </c>
    </row>
    <row r="4">
      <c r="A4" s="7" t="inlineStr">
        <is>
          <t>Total Shop Sold</t>
        </is>
      </c>
      <c r="B4" s="4" t="b">
        <v>1</v>
      </c>
    </row>
    <row r="5">
      <c r="A5" s="7" t="inlineStr">
        <is>
          <t>Total MSP Amount</t>
        </is>
      </c>
      <c r="B5" s="6" t="b">
        <v>1</v>
      </c>
    </row>
    <row r="6">
      <c r="A6" s="4" t="n"/>
      <c r="B6" s="4" t="n"/>
    </row>
    <row r="7">
      <c r="A7" s="9" t="inlineStr">
        <is>
          <t>Payment</t>
        </is>
      </c>
      <c r="B7" s="4" t="n"/>
    </row>
    <row r="8">
      <c r="A8" s="4" t="inlineStr">
        <is>
          <t>Cash</t>
        </is>
      </c>
      <c r="B8" s="6" t="n"/>
    </row>
    <row r="9">
      <c r="A9" s="4" t="inlineStr">
        <is>
          <t>KPay</t>
        </is>
      </c>
      <c r="B9" s="6" t="n"/>
    </row>
    <row r="10">
      <c r="A10" s="7" t="inlineStr">
        <is>
          <t>Total Payment</t>
        </is>
      </c>
      <c r="B10" s="6">
        <f>B8+B9</f>
        <v/>
      </c>
    </row>
    <row r="11">
      <c r="A11" s="7" t="inlineStr">
        <is>
          <t>Checking Difference</t>
        </is>
      </c>
      <c r="B11" s="6">
        <f>B3-B10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2026-02-26T11:34:10Z</dcterms:created>
  <dcterms:modified xsi:type="dcterms:W3CDTF">2026-02-26T11:34:10Z</dcterms:modified>
</cp:coreProperties>
</file>